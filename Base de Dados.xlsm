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uar\OneDrive\Área de Trabalho\Projeto SemiJoias Mãe\"/>
    </mc:Choice>
  </mc:AlternateContent>
  <xr:revisionPtr revIDLastSave="0" documentId="13_ncr:1_{A70EFEE9-8D73-4474-BC2B-9C9590B18EAC}" xr6:coauthVersionLast="47" xr6:coauthVersionMax="47" xr10:uidLastSave="{00000000-0000-0000-0000-000000000000}"/>
  <bookViews>
    <workbookView xWindow="-120" yWindow="-120" windowWidth="20730" windowHeight="11040" activeTab="2" xr2:uid="{4E5A4912-A073-4FC5-B024-B372F1247218}"/>
  </bookViews>
  <sheets>
    <sheet name="Produtos" sheetId="1" r:id="rId1"/>
    <sheet name="Vendas" sheetId="2" r:id="rId2"/>
    <sheet name="Consultas" sheetId="4" r:id="rId3"/>
    <sheet name="Back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1" l="1"/>
  <c r="A2" i="1"/>
  <c r="A3" i="1"/>
  <c r="A4" i="1"/>
  <c r="A5" i="1"/>
  <c r="A6" i="1"/>
  <c r="A7" i="1"/>
  <c r="A8" i="1"/>
  <c r="A9" i="1"/>
  <c r="A10" i="1"/>
  <c r="B8" i="4"/>
  <c r="H10" i="1"/>
  <c r="I10" i="1" s="1"/>
  <c r="H9" i="1"/>
  <c r="I9" i="1" s="1"/>
  <c r="H8" i="1"/>
  <c r="I8" i="1" s="1"/>
  <c r="H7" i="1"/>
  <c r="I7" i="1" s="1"/>
  <c r="H4" i="4"/>
  <c r="I4" i="4" s="1"/>
  <c r="L4" i="1"/>
  <c r="L5" i="1"/>
  <c r="L6" i="1"/>
  <c r="H4" i="1"/>
  <c r="I4" i="1" s="1"/>
  <c r="H5" i="1"/>
  <c r="I5" i="1" s="1"/>
  <c r="H6" i="1"/>
  <c r="I6" i="1" s="1"/>
  <c r="L3" i="1"/>
  <c r="L2" i="1"/>
  <c r="H3" i="1"/>
  <c r="I3" i="1" s="1"/>
  <c r="H2" i="1"/>
  <c r="I2" i="1" s="1"/>
  <c r="B4" i="4"/>
</calcChain>
</file>

<file path=xl/sharedStrings.xml><?xml version="1.0" encoding="utf-8"?>
<sst xmlns="http://schemas.openxmlformats.org/spreadsheetml/2006/main" count="107" uniqueCount="44">
  <si>
    <t>Nome</t>
  </si>
  <si>
    <t>Código</t>
  </si>
  <si>
    <t>Categoria</t>
  </si>
  <si>
    <t>Custo</t>
  </si>
  <si>
    <t>Vista</t>
  </si>
  <si>
    <t>Prazo</t>
  </si>
  <si>
    <t>Fabrica</t>
  </si>
  <si>
    <t>Modalidade</t>
  </si>
  <si>
    <t>Brinco</t>
  </si>
  <si>
    <t>Anel</t>
  </si>
  <si>
    <t>Adulto</t>
  </si>
  <si>
    <t>Condor</t>
  </si>
  <si>
    <t>Choker a</t>
  </si>
  <si>
    <t>Infantil</t>
  </si>
  <si>
    <t>Brinco pequeno a</t>
  </si>
  <si>
    <t>Anel grande b</t>
  </si>
  <si>
    <t>Brilhare</t>
  </si>
  <si>
    <t>Brinco pequeno b</t>
  </si>
  <si>
    <t>Brinco grande c</t>
  </si>
  <si>
    <t>Pole Joias</t>
  </si>
  <si>
    <t>ID</t>
  </si>
  <si>
    <t>Vendedora</t>
  </si>
  <si>
    <t>Cliente</t>
  </si>
  <si>
    <t>Data venda</t>
  </si>
  <si>
    <t>Cliente 1</t>
  </si>
  <si>
    <t>Cliente 2</t>
  </si>
  <si>
    <t>Eu</t>
  </si>
  <si>
    <t>Sirlei</t>
  </si>
  <si>
    <t>Data compra</t>
  </si>
  <si>
    <t>Adicionar Produto</t>
  </si>
  <si>
    <t>Pulseira</t>
  </si>
  <si>
    <t>Pingente</t>
  </si>
  <si>
    <t>Metal</t>
  </si>
  <si>
    <t>Ouro</t>
  </si>
  <si>
    <t>Prata</t>
  </si>
  <si>
    <t>Pingente abc</t>
  </si>
  <si>
    <t>Anel zircônia B</t>
  </si>
  <si>
    <t>Anel C</t>
  </si>
  <si>
    <t>Código Fábrica</t>
  </si>
  <si>
    <t>Fábrica</t>
  </si>
  <si>
    <t>Cód Fábrica</t>
  </si>
  <si>
    <t>Pref. Cód</t>
  </si>
  <si>
    <t>Colar</t>
  </si>
  <si>
    <t>Colar arco iris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</si>
</sst>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2" fillId="0" borderId="0" xfId="0" applyFont="1" applyAlignment="1">
      <alignment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14" fontId="0" fillId="0" borderId="7" xfId="0" applyNumberFormat="1" applyBorder="1"/>
    <xf numFmtId="0" fontId="0" fillId="3" borderId="9" xfId="0" applyFill="1" applyBorder="1"/>
    <xf numFmtId="0" fontId="0" fillId="3" borderId="8" xfId="0" applyFill="1" applyBorder="1"/>
    <xf numFmtId="164" fontId="0" fillId="0" borderId="6" xfId="1" applyNumberFormat="1" applyFont="1" applyBorder="1"/>
    <xf numFmtId="164" fontId="0" fillId="0" borderId="0" xfId="1" applyNumberFormat="1" applyFont="1" applyBorder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0" xfId="0" applyNumberFormat="1"/>
  </cellXfs>
  <cellStyles count="2">
    <cellStyle name="Moeda" xfId="1" builtinId="4"/>
    <cellStyle name="Normal" xfId="0" builtinId="0"/>
  </cellStyles>
  <dxfs count="5">
    <dxf>
      <numFmt numFmtId="19" formatCode="dd/mm/yyyy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123825</xdr:colOff>
      <xdr:row>1</xdr:row>
      <xdr:rowOff>323850</xdr:rowOff>
    </xdr:from>
    <xdr:to>
      <xdr:col>14</xdr:col>
      <xdr:colOff>0</xdr:colOff>
      <xdr:row>4</xdr:row>
      <xdr:rowOff>85725</xdr:rowOff>
    </xdr:to>
    <xdr:sp macro="[0]!Add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01EA3A8-DF5A-A453-3364-C0A651C36586}"/>
            </a:ext>
          </a:extLst>
        </xdr:cNvPr>
        <xdr:cNvSpPr/>
      </xdr:nvSpPr>
      <xdr:spPr>
        <a:xfrm>
          <a:off x="7591425" y="514350"/>
          <a:ext cx="1228725" cy="48577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Bahnschrift" panose="020B0502040204020203" pitchFamily="34" charset="0"/>
            </a:rPr>
            <a:t>Adicionar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571C62-2698-44E5-9500-3426E230CA5B}" name="Tabela1" displayName="Tabela1" ref="A1:L11" totalsRowShown="0">
  <autoFilter ref="A1:L11" xr:uid="{EF571C62-2698-44E5-9500-3426E230CA5B}"/>
  <tableColumns count="12">
    <tableColumn id="15" xr3:uid="{0276D320-3970-4F50-8846-AE743C72B566}" name="Código" dataDxfId="4">
      <calculatedColumnFormula>VLOOKUP(Tabela1[[#This Row],[Categoria]],Back!$B$2:$C$7,2,0)&amp;Tabela1[[#This Row],[ID]]</calculatedColumnFormula>
    </tableColumn>
    <tableColumn id="1" xr3:uid="{E2AC8AD3-253E-429D-919A-46F360F58C2B}" name="ID"/>
    <tableColumn id="2" xr3:uid="{F0D11751-06DA-47E2-B138-51BEAE4985CC}" name="Categoria"/>
    <tableColumn id="11" xr3:uid="{C388B6BF-A7CF-44B5-9A26-AACDDF1BF114}" name="Metal"/>
    <tableColumn id="3" xr3:uid="{1A6009D3-2AF9-428B-8A77-8A544013D706}" name="Nome"/>
    <tableColumn id="4" xr3:uid="{3C6537B9-D913-4049-8D3C-CF8119E568AF}" name="Modalidade"/>
    <tableColumn id="5" xr3:uid="{87648069-4D89-4E25-B3D3-E14C08226486}" name="Custo" dataDxfId="3"/>
    <tableColumn id="6" xr3:uid="{5DF1E382-FE8E-453B-88B1-B04F3E5D11C9}" name="Vista" dataDxfId="2"/>
    <tableColumn id="7" xr3:uid="{C8F9B4D0-458A-474F-AC21-3B79189B7824}" name="Prazo" dataDxfId="1"/>
    <tableColumn id="8" xr3:uid="{88A0A461-FC68-4232-8B20-0AEDD6574265}" name="Fábrica"/>
    <tableColumn id="12" xr3:uid="{CEF209FD-EDCF-4D65-91F4-E42CC2DC4350}" name="Código Fábrica"/>
    <tableColumn id="9" xr3:uid="{00D910C7-F63A-4276-BC48-8111783625AE}" name="Data compr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D22375A-7F42-4045-8263-F46882822605}" name="Tabela2" displayName="Tabela2" ref="A1:E4" totalsRowShown="0">
  <autoFilter ref="A1:E4" xr:uid="{AD22375A-7F42-4045-8263-F46882822605}"/>
  <tableColumns count="5">
    <tableColumn id="1" xr3:uid="{B77ACFA3-7815-43F6-B6AD-F9323482D3EF}" name="ID"/>
    <tableColumn id="2" xr3:uid="{EF48EF4D-8B3F-42E4-B537-E7A6B7516B0B}" name="Código"/>
    <tableColumn id="3" xr3:uid="{1EB6A1DA-33D1-4115-BEF8-F0C8FC64B045}" name="Cliente"/>
    <tableColumn id="4" xr3:uid="{1F18A537-0CCE-4F41-84A7-3B38A70CD9E1}" name="Vendedora"/>
    <tableColumn id="5" xr3:uid="{30F6E506-319C-4608-8F70-8B0C2B7648C9}" name="Data venda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D7ABE-53B3-419A-B261-DDB9DC157DEF}">
  <sheetPr codeName="Planilha1"/>
  <dimension ref="A1:L12"/>
  <sheetViews>
    <sheetView workbookViewId="0">
      <selection activeCell="A11" sqref="A11"/>
    </sheetView>
  </sheetViews>
  <sheetFormatPr defaultRowHeight="15" x14ac:dyDescent="0.25"/>
  <cols>
    <col min="2" max="2" width="5.140625" customWidth="1"/>
    <col min="3" max="3" width="11.7109375" bestFit="1" customWidth="1"/>
    <col min="4" max="4" width="8.5703125" bestFit="1" customWidth="1"/>
    <col min="5" max="5" width="20.140625" customWidth="1"/>
    <col min="6" max="6" width="14" bestFit="1" customWidth="1"/>
    <col min="7" max="7" width="12.5703125" customWidth="1"/>
    <col min="8" max="9" width="13" style="2" customWidth="1"/>
    <col min="10" max="10" width="12.140625" style="2" customWidth="1"/>
    <col min="11" max="11" width="16.5703125" customWidth="1"/>
    <col min="12" max="12" width="16.28515625" bestFit="1" customWidth="1"/>
    <col min="13" max="13" width="14.28515625" bestFit="1" customWidth="1"/>
    <col min="14" max="14" width="9.140625" customWidth="1"/>
  </cols>
  <sheetData>
    <row r="1" spans="1:12" x14ac:dyDescent="0.25">
      <c r="A1" t="s">
        <v>1</v>
      </c>
      <c r="B1" t="s">
        <v>20</v>
      </c>
      <c r="C1" t="s">
        <v>2</v>
      </c>
      <c r="D1" t="s">
        <v>32</v>
      </c>
      <c r="E1" t="s">
        <v>0</v>
      </c>
      <c r="F1" t="s">
        <v>7</v>
      </c>
      <c r="G1" s="2" t="s">
        <v>3</v>
      </c>
      <c r="H1" s="2" t="s">
        <v>4</v>
      </c>
      <c r="I1" s="2" t="s">
        <v>5</v>
      </c>
      <c r="J1" t="s">
        <v>39</v>
      </c>
      <c r="K1" t="s">
        <v>38</v>
      </c>
      <c r="L1" t="s">
        <v>28</v>
      </c>
    </row>
    <row r="2" spans="1:12" x14ac:dyDescent="0.25">
      <c r="A2" t="str">
        <f>VLOOKUP(Tabela1[[#This Row],[Categoria]],Back!$B$2:$C$7,2,0)&amp;Tabela1[[#This Row],[ID]]</f>
        <v>51</v>
      </c>
      <c r="B2">
        <v>1</v>
      </c>
      <c r="C2" t="s">
        <v>8</v>
      </c>
      <c r="D2" t="s">
        <v>33</v>
      </c>
      <c r="E2" t="s">
        <v>14</v>
      </c>
      <c r="F2" t="s">
        <v>10</v>
      </c>
      <c r="G2" s="2">
        <v>30</v>
      </c>
      <c r="H2" s="2">
        <f>G2*220%</f>
        <v>66</v>
      </c>
      <c r="I2" s="2">
        <f>H2*110%</f>
        <v>72.600000000000009</v>
      </c>
      <c r="J2" t="s">
        <v>11</v>
      </c>
      <c r="L2" s="1">
        <f ca="1">TODAY()</f>
        <v>45081</v>
      </c>
    </row>
    <row r="3" spans="1:12" x14ac:dyDescent="0.25">
      <c r="A3" t="str">
        <f>VLOOKUP(Tabela1[[#This Row],[Categoria]],Back!$B$2:$C$7,2,0)&amp;Tabela1[[#This Row],[ID]]</f>
        <v>72</v>
      </c>
      <c r="B3">
        <v>2</v>
      </c>
      <c r="C3" t="s">
        <v>9</v>
      </c>
      <c r="D3" t="s">
        <v>34</v>
      </c>
      <c r="E3" t="s">
        <v>15</v>
      </c>
      <c r="F3" t="s">
        <v>10</v>
      </c>
      <c r="G3" s="2">
        <v>40</v>
      </c>
      <c r="H3" s="2">
        <f>G3*220%</f>
        <v>88</v>
      </c>
      <c r="I3" s="2">
        <f>H3*110%</f>
        <v>96.800000000000011</v>
      </c>
      <c r="J3" t="s">
        <v>16</v>
      </c>
      <c r="L3" s="1">
        <f ca="1">TODAY()</f>
        <v>45081</v>
      </c>
    </row>
    <row r="4" spans="1:12" x14ac:dyDescent="0.25">
      <c r="A4" t="str">
        <f>VLOOKUP(Tabela1[[#This Row],[Categoria]],Back!$B$2:$C$7,2,0)&amp;Tabela1[[#This Row],[ID]]</f>
        <v>33</v>
      </c>
      <c r="B4">
        <v>3</v>
      </c>
      <c r="C4" t="s">
        <v>42</v>
      </c>
      <c r="D4" t="s">
        <v>33</v>
      </c>
      <c r="E4" t="s">
        <v>12</v>
      </c>
      <c r="F4" t="s">
        <v>13</v>
      </c>
      <c r="G4" s="2">
        <v>90</v>
      </c>
      <c r="H4" s="2">
        <f t="shared" ref="H4:H6" si="0">G4*220%</f>
        <v>198.00000000000003</v>
      </c>
      <c r="I4" s="2">
        <f t="shared" ref="I4:I6" si="1">H4*110%</f>
        <v>217.80000000000004</v>
      </c>
      <c r="J4" t="s">
        <v>16</v>
      </c>
      <c r="L4" s="1">
        <f t="shared" ref="L4:L6" ca="1" si="2">TODAY()</f>
        <v>45081</v>
      </c>
    </row>
    <row r="5" spans="1:12" x14ac:dyDescent="0.25">
      <c r="A5" t="str">
        <f>VLOOKUP(Tabela1[[#This Row],[Categoria]],Back!$B$2:$C$7,2,0)&amp;Tabela1[[#This Row],[ID]]</f>
        <v>54</v>
      </c>
      <c r="B5">
        <v>4</v>
      </c>
      <c r="C5" t="s">
        <v>8</v>
      </c>
      <c r="D5" t="s">
        <v>33</v>
      </c>
      <c r="E5" t="s">
        <v>17</v>
      </c>
      <c r="F5" t="s">
        <v>13</v>
      </c>
      <c r="G5" s="2">
        <v>50</v>
      </c>
      <c r="H5" s="2">
        <f t="shared" si="0"/>
        <v>110.00000000000001</v>
      </c>
      <c r="I5" s="2">
        <f t="shared" si="1"/>
        <v>121.00000000000003</v>
      </c>
      <c r="J5" t="s">
        <v>11</v>
      </c>
      <c r="L5" s="1">
        <f t="shared" ca="1" si="2"/>
        <v>45081</v>
      </c>
    </row>
    <row r="6" spans="1:12" x14ac:dyDescent="0.25">
      <c r="A6" t="str">
        <f>VLOOKUP(Tabela1[[#This Row],[Categoria]],Back!$B$2:$C$7,2,0)&amp;Tabela1[[#This Row],[ID]]</f>
        <v>55</v>
      </c>
      <c r="B6">
        <v>5</v>
      </c>
      <c r="C6" t="s">
        <v>8</v>
      </c>
      <c r="D6" t="s">
        <v>33</v>
      </c>
      <c r="E6" t="s">
        <v>18</v>
      </c>
      <c r="F6" t="s">
        <v>10</v>
      </c>
      <c r="G6" s="2">
        <v>120</v>
      </c>
      <c r="H6" s="2">
        <f t="shared" si="0"/>
        <v>264</v>
      </c>
      <c r="I6" s="2">
        <f t="shared" si="1"/>
        <v>290.40000000000003</v>
      </c>
      <c r="J6" t="s">
        <v>19</v>
      </c>
      <c r="L6" s="1">
        <f t="shared" ca="1" si="2"/>
        <v>45081</v>
      </c>
    </row>
    <row r="7" spans="1:12" x14ac:dyDescent="0.25">
      <c r="A7" t="str">
        <f>VLOOKUP(Tabela1[[#This Row],[Categoria]],Back!$B$2:$C$7,2,0)&amp;Tabela1[[#This Row],[ID]]</f>
        <v>26</v>
      </c>
      <c r="B7">
        <v>6</v>
      </c>
      <c r="C7" t="s">
        <v>31</v>
      </c>
      <c r="D7" t="s">
        <v>33</v>
      </c>
      <c r="E7" t="s">
        <v>35</v>
      </c>
      <c r="F7" t="s">
        <v>10</v>
      </c>
      <c r="G7" s="11">
        <v>50</v>
      </c>
      <c r="H7" s="2">
        <f>G7*2.1</f>
        <v>105</v>
      </c>
      <c r="I7" s="2">
        <f>H7*1.1</f>
        <v>115.50000000000001</v>
      </c>
      <c r="J7" t="s">
        <v>16</v>
      </c>
      <c r="L7" s="1">
        <v>45079</v>
      </c>
    </row>
    <row r="8" spans="1:12" x14ac:dyDescent="0.25">
      <c r="A8" t="str">
        <f>VLOOKUP(Tabela1[[#This Row],[Categoria]],Back!$B$2:$C$7,2,0)&amp;Tabela1[[#This Row],[ID]]</f>
        <v>27</v>
      </c>
      <c r="B8">
        <v>7</v>
      </c>
      <c r="C8" t="s">
        <v>31</v>
      </c>
      <c r="D8" t="s">
        <v>33</v>
      </c>
      <c r="E8" t="s">
        <v>35</v>
      </c>
      <c r="F8" t="s">
        <v>10</v>
      </c>
      <c r="G8" s="11">
        <v>50</v>
      </c>
      <c r="H8" s="2">
        <f>G8*2.1</f>
        <v>105</v>
      </c>
      <c r="I8" s="2">
        <f>H8*1.1</f>
        <v>115.50000000000001</v>
      </c>
      <c r="J8" t="s">
        <v>16</v>
      </c>
      <c r="L8" s="1">
        <v>45079</v>
      </c>
    </row>
    <row r="9" spans="1:12" x14ac:dyDescent="0.25">
      <c r="A9" t="str">
        <f>VLOOKUP(Tabela1[[#This Row],[Categoria]],Back!$B$2:$C$7,2,0)&amp;Tabela1[[#This Row],[ID]]</f>
        <v>78</v>
      </c>
      <c r="B9">
        <v>8</v>
      </c>
      <c r="C9" t="s">
        <v>9</v>
      </c>
      <c r="D9" t="s">
        <v>34</v>
      </c>
      <c r="E9" t="s">
        <v>36</v>
      </c>
      <c r="F9" t="s">
        <v>10</v>
      </c>
      <c r="G9" s="11">
        <v>80</v>
      </c>
      <c r="H9" s="2">
        <f>G9*2.1</f>
        <v>168</v>
      </c>
      <c r="I9" s="2">
        <f>H9*1.1</f>
        <v>184.8</v>
      </c>
      <c r="J9" t="s">
        <v>11</v>
      </c>
      <c r="L9" s="1">
        <v>45079</v>
      </c>
    </row>
    <row r="10" spans="1:12" x14ac:dyDescent="0.25">
      <c r="A10" t="str">
        <f>VLOOKUP(Tabela1[[#This Row],[Categoria]],Back!$B$2:$C$7,2,0)&amp;Tabela1[[#This Row],[ID]]</f>
        <v>79</v>
      </c>
      <c r="B10">
        <v>9</v>
      </c>
      <c r="C10" t="s">
        <v>9</v>
      </c>
      <c r="D10" t="s">
        <v>33</v>
      </c>
      <c r="E10" t="s">
        <v>37</v>
      </c>
      <c r="F10" t="s">
        <v>10</v>
      </c>
      <c r="G10" s="11">
        <v>100</v>
      </c>
      <c r="H10" s="2">
        <f>G10*2.1</f>
        <v>210</v>
      </c>
      <c r="I10" s="2">
        <f>H10*1.1</f>
        <v>231.00000000000003</v>
      </c>
      <c r="J10" t="s">
        <v>11</v>
      </c>
      <c r="L10" s="1">
        <v>45079</v>
      </c>
    </row>
    <row r="11" spans="1:12" x14ac:dyDescent="0.25">
      <c r="A11" s="15" t="str">
        <f>VLOOKUP(Tabela1[[#This Row],[Categoria]],Back!$B$2:$C$7,2,0)&amp;Tabela1[[#This Row],[ID]]</f>
        <v>310</v>
      </c>
      <c r="B11">
        <v>10</v>
      </c>
      <c r="C11" t="s">
        <v>42</v>
      </c>
      <c r="D11" t="s">
        <v>34</v>
      </c>
      <c r="E11" t="s">
        <v>43</v>
      </c>
      <c r="F11" t="s">
        <v>13</v>
      </c>
      <c r="G11" s="2">
        <v>90</v>
      </c>
      <c r="H11" s="2">
        <v>189</v>
      </c>
      <c r="I11" s="2">
        <v>207.9</v>
      </c>
      <c r="J11" t="s">
        <v>16</v>
      </c>
      <c r="K11">
        <v>1111111</v>
      </c>
      <c r="L11">
        <v>45079</v>
      </c>
    </row>
    <row r="12" spans="1:12" x14ac:dyDescent="0.25">
      <c r="G12" s="11"/>
      <c r="J12"/>
      <c r="L12" s="1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1A3C1C9-113F-4870-9252-A230B916BAC9}">
          <x14:formula1>
            <xm:f>Back!$B$2:$B$7</xm:f>
          </x14:formula1>
          <xm:sqref>C1:C11 D12:D1048576</xm:sqref>
        </x14:dataValidation>
        <x14:dataValidation type="list" allowBlank="1" showInputMessage="1" showErrorMessage="1" xr:uid="{06C41B87-A0EB-48F7-A636-8A3E0D524587}">
          <x14:formula1>
            <xm:f>Back!$D$2:$D$4</xm:f>
          </x14:formula1>
          <xm:sqref>D1:D11 E12:E1048576</xm:sqref>
        </x14:dataValidation>
        <x14:dataValidation type="list" allowBlank="1" showInputMessage="1" showErrorMessage="1" xr:uid="{957E40E3-1A7D-4B4F-82B4-E5BB1237FB01}">
          <x14:formula1>
            <xm:f>Back!$E$2:$E$4</xm:f>
          </x14:formula1>
          <xm:sqref>F1:F11 G12:G1048576</xm:sqref>
        </x14:dataValidation>
        <x14:dataValidation type="list" allowBlank="1" showInputMessage="1" showErrorMessage="1" xr:uid="{240E94F7-8783-49F1-B149-7EE4F7B74FA8}">
          <x14:formula1>
            <xm:f>Back!$F$2:$F$5</xm:f>
          </x14:formula1>
          <xm:sqref>K12:K1048576 J1:J11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26B93-6178-4F2B-BA66-0224AC2BD197}">
  <sheetPr codeName="Planilha2"/>
  <dimension ref="A1:E4"/>
  <sheetViews>
    <sheetView workbookViewId="0">
      <selection activeCell="C20" sqref="C20"/>
    </sheetView>
  </sheetViews>
  <sheetFormatPr defaultRowHeight="15" x14ac:dyDescent="0.25"/>
  <cols>
    <col min="2" max="2" width="9.42578125" bestFit="1" customWidth="1"/>
    <col min="3" max="3" width="9.5703125" customWidth="1"/>
    <col min="4" max="4" width="13.140625" bestFit="1" customWidth="1"/>
    <col min="5" max="5" width="13" style="1" customWidth="1"/>
  </cols>
  <sheetData>
    <row r="1" spans="1:5" x14ac:dyDescent="0.25">
      <c r="A1" t="s">
        <v>20</v>
      </c>
      <c r="B1" t="s">
        <v>1</v>
      </c>
      <c r="C1" t="s">
        <v>22</v>
      </c>
      <c r="D1" t="s">
        <v>21</v>
      </c>
      <c r="E1" s="1" t="s">
        <v>23</v>
      </c>
    </row>
    <row r="2" spans="1:5" x14ac:dyDescent="0.25">
      <c r="A2">
        <v>1</v>
      </c>
      <c r="B2">
        <v>2</v>
      </c>
      <c r="C2" t="s">
        <v>24</v>
      </c>
      <c r="D2" t="s">
        <v>26</v>
      </c>
      <c r="E2" s="1">
        <v>45073</v>
      </c>
    </row>
    <row r="3" spans="1:5" x14ac:dyDescent="0.25">
      <c r="A3">
        <v>2</v>
      </c>
      <c r="B3">
        <v>4</v>
      </c>
      <c r="C3" t="s">
        <v>24</v>
      </c>
      <c r="D3" t="s">
        <v>26</v>
      </c>
      <c r="E3" s="1">
        <v>45073</v>
      </c>
    </row>
    <row r="4" spans="1:5" x14ac:dyDescent="0.25">
      <c r="A4">
        <v>3</v>
      </c>
      <c r="B4">
        <v>5</v>
      </c>
      <c r="C4" t="s">
        <v>25</v>
      </c>
      <c r="D4" t="s">
        <v>27</v>
      </c>
      <c r="E4" s="1">
        <v>45076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516EF-0201-4E4E-838F-CE9BD5E137ED}">
  <sheetPr codeName="Planilha3"/>
  <dimension ref="A1:L8"/>
  <sheetViews>
    <sheetView tabSelected="1" workbookViewId="0">
      <selection activeCell="G11" sqref="G11"/>
    </sheetView>
  </sheetViews>
  <sheetFormatPr defaultRowHeight="15" x14ac:dyDescent="0.25"/>
  <cols>
    <col min="2" max="2" width="9" customWidth="1"/>
    <col min="3" max="3" width="11.42578125" customWidth="1"/>
    <col min="4" max="4" width="9.5703125" customWidth="1"/>
    <col min="5" max="5" width="24.85546875" customWidth="1"/>
    <col min="6" max="6" width="12.42578125" customWidth="1"/>
    <col min="7" max="7" width="13.140625" customWidth="1"/>
    <col min="8" max="8" width="5.42578125" hidden="1" customWidth="1"/>
    <col min="9" max="9" width="6" hidden="1" customWidth="1"/>
    <col min="11" max="11" width="13.28515625" customWidth="1"/>
    <col min="12" max="12" width="12.140625" customWidth="1"/>
    <col min="14" max="14" width="11.140625" bestFit="1" customWidth="1"/>
    <col min="15" max="15" width="5.5703125" bestFit="1" customWidth="1"/>
    <col min="16" max="16" width="7.42578125" bestFit="1" customWidth="1"/>
    <col min="17" max="17" width="8" bestFit="1" customWidth="1"/>
  </cols>
  <sheetData>
    <row r="1" spans="1:12" ht="15" customHeight="1" x14ac:dyDescent="0.25">
      <c r="C1" s="3"/>
      <c r="D1" s="3"/>
      <c r="E1" s="3"/>
      <c r="F1" s="3"/>
      <c r="G1" s="3"/>
      <c r="H1" s="3"/>
      <c r="I1" s="3"/>
    </row>
    <row r="2" spans="1:12" ht="27" customHeight="1" x14ac:dyDescent="0.25">
      <c r="A2" s="4"/>
      <c r="B2" s="12" t="s">
        <v>29</v>
      </c>
      <c r="C2" s="13"/>
      <c r="D2" s="13"/>
      <c r="E2" s="13"/>
      <c r="F2" s="13"/>
      <c r="G2" s="13"/>
      <c r="H2" s="13"/>
      <c r="I2" s="13"/>
      <c r="J2" s="13"/>
      <c r="K2" s="13"/>
      <c r="L2" s="14"/>
    </row>
    <row r="3" spans="1:12" x14ac:dyDescent="0.25">
      <c r="A3" s="4"/>
      <c r="B3" s="8" t="s">
        <v>1</v>
      </c>
      <c r="C3" s="8" t="s">
        <v>2</v>
      </c>
      <c r="D3" s="8" t="s">
        <v>32</v>
      </c>
      <c r="E3" s="8" t="s">
        <v>0</v>
      </c>
      <c r="F3" s="8" t="s">
        <v>7</v>
      </c>
      <c r="G3" s="8" t="s">
        <v>3</v>
      </c>
      <c r="H3" s="8" t="s">
        <v>4</v>
      </c>
      <c r="I3" s="8" t="s">
        <v>5</v>
      </c>
      <c r="J3" s="8" t="s">
        <v>6</v>
      </c>
      <c r="K3" s="8" t="s">
        <v>40</v>
      </c>
      <c r="L3" s="9" t="s">
        <v>28</v>
      </c>
    </row>
    <row r="4" spans="1:12" x14ac:dyDescent="0.25">
      <c r="A4" s="4"/>
      <c r="B4" s="5">
        <f>LARGE(Tabela1[[#All],[ID]],1)+1</f>
        <v>11</v>
      </c>
      <c r="C4" s="6" t="s">
        <v>42</v>
      </c>
      <c r="D4" s="6" t="s">
        <v>34</v>
      </c>
      <c r="E4" s="6" t="s">
        <v>43</v>
      </c>
      <c r="F4" s="6" t="s">
        <v>13</v>
      </c>
      <c r="G4" s="10">
        <v>90</v>
      </c>
      <c r="H4" s="6">
        <f>G4*2.1</f>
        <v>189</v>
      </c>
      <c r="I4" s="6">
        <f>H4*1.1</f>
        <v>207.9</v>
      </c>
      <c r="J4" s="6" t="s">
        <v>16</v>
      </c>
      <c r="K4" s="6">
        <v>1111111</v>
      </c>
      <c r="L4" s="7">
        <v>45079</v>
      </c>
    </row>
    <row r="8" spans="1:12" x14ac:dyDescent="0.25">
      <c r="B8">
        <f>VLOOKUP(C4,Back!B2:C7,2,FALSE)</f>
        <v>3</v>
      </c>
    </row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8D981-8B4E-4F76-B2BB-61C939AEAF3B}">
  <sheetPr codeName="Planilha4"/>
  <dimension ref="B2:F7"/>
  <sheetViews>
    <sheetView workbookViewId="0">
      <selection activeCell="C4" sqref="C4"/>
    </sheetView>
  </sheetViews>
  <sheetFormatPr defaultRowHeight="15" x14ac:dyDescent="0.25"/>
  <cols>
    <col min="2" max="2" width="11.140625" bestFit="1" customWidth="1"/>
    <col min="3" max="3" width="9.85546875" customWidth="1"/>
    <col min="5" max="5" width="11.5703125" bestFit="1" customWidth="1"/>
    <col min="6" max="6" width="9.85546875" customWidth="1"/>
  </cols>
  <sheetData>
    <row r="2" spans="2:6" x14ac:dyDescent="0.25">
      <c r="B2" t="s">
        <v>2</v>
      </c>
      <c r="C2" t="s">
        <v>41</v>
      </c>
      <c r="D2" t="s">
        <v>32</v>
      </c>
      <c r="E2" t="s">
        <v>7</v>
      </c>
      <c r="F2" t="s">
        <v>39</v>
      </c>
    </row>
    <row r="3" spans="2:6" x14ac:dyDescent="0.25">
      <c r="B3" t="s">
        <v>9</v>
      </c>
      <c r="C3">
        <v>7</v>
      </c>
      <c r="D3" t="s">
        <v>33</v>
      </c>
      <c r="E3" t="s">
        <v>13</v>
      </c>
      <c r="F3" t="s">
        <v>11</v>
      </c>
    </row>
    <row r="4" spans="2:6" x14ac:dyDescent="0.25">
      <c r="B4" t="s">
        <v>8</v>
      </c>
      <c r="C4">
        <v>5</v>
      </c>
      <c r="D4" t="s">
        <v>34</v>
      </c>
      <c r="E4" t="s">
        <v>10</v>
      </c>
      <c r="F4" t="s">
        <v>16</v>
      </c>
    </row>
    <row r="5" spans="2:6" x14ac:dyDescent="0.25">
      <c r="B5" t="s">
        <v>42</v>
      </c>
      <c r="C5">
        <v>3</v>
      </c>
      <c r="F5" t="s">
        <v>19</v>
      </c>
    </row>
    <row r="6" spans="2:6" x14ac:dyDescent="0.25">
      <c r="B6" t="s">
        <v>30</v>
      </c>
      <c r="C6">
        <v>4</v>
      </c>
    </row>
    <row r="7" spans="2:6" x14ac:dyDescent="0.25">
      <c r="B7" t="s">
        <v>31</v>
      </c>
      <c r="C7"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Produtos</vt:lpstr>
      <vt:lpstr>Vendas</vt:lpstr>
      <vt:lpstr>Consultas</vt:lpstr>
      <vt:lpstr>Back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Salvagni Ballico</dc:creator>
  <cp:lastModifiedBy>Eduardo Salvagni Ballico</cp:lastModifiedBy>
  <dcterms:created xsi:type="dcterms:W3CDTF">2023-06-02T21:10:22Z</dcterms:created>
  <dcterms:modified xsi:type="dcterms:W3CDTF">2023-06-04T17:30:41Z</dcterms:modified>
</cp:coreProperties>
</file>